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Documents\Academic\PhD\MIT\Research\Rules of Thumb\"/>
    </mc:Choice>
  </mc:AlternateContent>
  <bookViews>
    <workbookView xWindow="4650" yWindow="0" windowWidth="21570" windowHeight="9330"/>
  </bookViews>
  <sheets>
    <sheet name="Area Requirement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2" l="1"/>
  <c r="B12" i="2"/>
  <c r="B11" i="2"/>
  <c r="B13" i="2"/>
  <c r="B28" i="2"/>
  <c r="B29" i="2"/>
  <c r="B20" i="2"/>
  <c r="B21" i="2" s="1"/>
  <c r="B39" i="2" l="1"/>
  <c r="B45" i="2"/>
  <c r="B50" i="2" s="1"/>
  <c r="B8" i="2"/>
  <c r="B7" i="2"/>
  <c r="B19" i="2"/>
  <c r="B22" i="2" l="1"/>
  <c r="B24" i="2" s="1"/>
  <c r="B25" i="2" l="1"/>
</calcChain>
</file>

<file path=xl/sharedStrings.xml><?xml version="1.0" encoding="utf-8"?>
<sst xmlns="http://schemas.openxmlformats.org/spreadsheetml/2006/main" count="72" uniqueCount="52">
  <si>
    <t>PROJECT INFORMATION</t>
  </si>
  <si>
    <t>Floor to Floor Height (m)</t>
  </si>
  <si>
    <t>MECHANICAL SYSTEMS</t>
  </si>
  <si>
    <t>Cooling Load (kW)</t>
  </si>
  <si>
    <t>Cooling Load (tons)</t>
  </si>
  <si>
    <r>
      <t>Airflow Rate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/hr)</t>
    </r>
  </si>
  <si>
    <r>
      <t>Airflow Rate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/s)</t>
    </r>
  </si>
  <si>
    <r>
      <t xml:space="preserve">From </t>
    </r>
    <r>
      <rPr>
        <i/>
        <sz val="11"/>
        <color theme="1"/>
        <rFont val="Calibri"/>
        <family val="2"/>
        <scheme val="minor"/>
      </rPr>
      <t xml:space="preserve">Mechanical and Electrical Equipment for Buildings, </t>
    </r>
    <r>
      <rPr>
        <sz val="11"/>
        <color theme="1"/>
        <rFont val="Calibri"/>
        <family val="2"/>
        <scheme val="minor"/>
      </rPr>
      <t>10.3, Table 10.5</t>
    </r>
  </si>
  <si>
    <t>ELECTRICAL SYSTEMS</t>
  </si>
  <si>
    <t>PLUMBING SYSTEMS</t>
  </si>
  <si>
    <t>Occupancy Per Floor (people/floor)</t>
  </si>
  <si>
    <t>Total Occupancy (people)</t>
  </si>
  <si>
    <t>VERTICAL TRANSPORTATION</t>
  </si>
  <si>
    <t>Number of Elevator Shafts</t>
  </si>
  <si>
    <t>EGRESS STAIRS</t>
  </si>
  <si>
    <t>Number of Egress Stairs</t>
  </si>
  <si>
    <t>Occupant Load</t>
  </si>
  <si>
    <t>Width Per Occupant (mm)</t>
  </si>
  <si>
    <t>Clear Width of Corridor and Stair (m)</t>
  </si>
  <si>
    <t>Length of Egress Stair Enclosure (m)</t>
  </si>
  <si>
    <t>Width of Egress Stair Enclosure (m)</t>
  </si>
  <si>
    <t>BASEMENT OR ROOF</t>
  </si>
  <si>
    <t>BASEMENT, ROOF, MEP ROOM</t>
  </si>
  <si>
    <t>TYPICAL FLOOR (CORE)</t>
  </si>
  <si>
    <t>TYPICAL FLOOR AREA REQUIREMENTS</t>
  </si>
  <si>
    <t>ROOF AREA REQUIREMENTS</t>
  </si>
  <si>
    <r>
      <t>Area Per Floor (m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)</t>
    </r>
  </si>
  <si>
    <r>
      <t>Occupancy Density (people/m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)</t>
    </r>
  </si>
  <si>
    <r>
      <t xml:space="preserve">From </t>
    </r>
    <r>
      <rPr>
        <i/>
        <sz val="12"/>
        <color theme="1"/>
        <rFont val="Calibri"/>
        <family val="2"/>
        <scheme val="minor"/>
      </rPr>
      <t>ASHRAE 62.1-2019</t>
    </r>
    <r>
      <rPr>
        <sz val="12"/>
        <color theme="1"/>
        <rFont val="Calibri"/>
        <family val="2"/>
        <scheme val="minor"/>
      </rPr>
      <t>, Table 6.1</t>
    </r>
  </si>
  <si>
    <r>
      <t>MEP Area (m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)</t>
    </r>
  </si>
  <si>
    <r>
      <t>Elevator Area (m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)</t>
    </r>
  </si>
  <si>
    <r>
      <t>Egress Stair Area (m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)</t>
    </r>
  </si>
  <si>
    <r>
      <t>Supply Shaft Area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</si>
  <si>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 xml:space="preserve">From </t>
    </r>
    <r>
      <rPr>
        <i/>
        <sz val="11"/>
        <color theme="1"/>
        <rFont val="Calibri"/>
        <family val="2"/>
        <scheme val="minor"/>
      </rPr>
      <t xml:space="preserve">Mechanical and Electrical Equipment for Buildings, </t>
    </r>
    <r>
      <rPr>
        <sz val="11"/>
        <color theme="1"/>
        <rFont val="Calibri"/>
        <family val="2"/>
        <scheme val="minor"/>
      </rPr>
      <t>10.4 (a) Air Ducts</t>
    </r>
  </si>
  <si>
    <r>
      <t>Return Shaft Area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</si>
  <si>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Heating and Cooling Area Pipe Riser Area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</si>
  <si>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 xml:space="preserve">From </t>
    </r>
    <r>
      <rPr>
        <i/>
        <sz val="11"/>
        <color theme="1"/>
        <rFont val="Calibri"/>
        <family val="2"/>
        <scheme val="minor"/>
      </rPr>
      <t>The Architect's Studio Companion</t>
    </r>
    <r>
      <rPr>
        <sz val="11"/>
        <color theme="1"/>
        <rFont val="Calibri"/>
        <family val="2"/>
        <scheme val="minor"/>
      </rPr>
      <t>, 4, Vertical Distribution of Services for Large Buildings</t>
    </r>
  </si>
  <si>
    <r>
      <t>Central Fan Room Area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</si>
  <si>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 xml:space="preserve">From </t>
    </r>
    <r>
      <rPr>
        <i/>
        <sz val="11"/>
        <color theme="1"/>
        <rFont val="Calibri"/>
        <family val="2"/>
        <scheme val="minor"/>
      </rPr>
      <t xml:space="preserve">Mechanical and Electrical Equipment for Buildings, </t>
    </r>
    <r>
      <rPr>
        <sz val="11"/>
        <color theme="1"/>
        <rFont val="Calibri"/>
        <family val="2"/>
        <scheme val="minor"/>
      </rPr>
      <t>10.2, Table 10.3</t>
    </r>
  </si>
  <si>
    <r>
      <t>Central Boiler and Chiller Room Area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</si>
  <si>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 xml:space="preserve">From </t>
    </r>
    <r>
      <rPr>
        <i/>
        <sz val="11"/>
        <color theme="1"/>
        <rFont val="Calibri"/>
        <family val="2"/>
        <scheme val="minor"/>
      </rPr>
      <t>The Architect's Studio Companion</t>
    </r>
    <r>
      <rPr>
        <sz val="11"/>
        <color theme="1"/>
        <rFont val="Calibri"/>
        <family val="2"/>
        <scheme val="minor"/>
      </rPr>
      <t>, 4, Major Equipment Spaces for Large Buildings</t>
    </r>
  </si>
  <si>
    <r>
      <t>Water Pump Room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</si>
  <si>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Fire Pump Room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</si>
  <si>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Individual Shaft Area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</si>
  <si>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Elevator Machine Room Area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</si>
  <si>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 xml:space="preserve">From </t>
    </r>
    <r>
      <rPr>
        <i/>
        <sz val="11"/>
        <color theme="1"/>
        <rFont val="Calibri"/>
        <family val="2"/>
        <scheme val="minor"/>
      </rPr>
      <t>The Architect's Studio Companion</t>
    </r>
    <r>
      <rPr>
        <sz val="11"/>
        <color theme="1"/>
        <rFont val="Calibri"/>
        <family val="2"/>
        <scheme val="minor"/>
      </rPr>
      <t>, 5.2, Sizing the Egress System</t>
    </r>
  </si>
  <si>
    <r>
      <t>Gross Floor Area (m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)</t>
    </r>
  </si>
  <si>
    <t>ROOF</t>
  </si>
  <si>
    <r>
      <t>Electrical Room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</si>
  <si>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ONE EGRESS STAIR</t>
  </si>
  <si>
    <t>ONE ELEVATOR SHAFT</t>
  </si>
  <si>
    <t>FAN ROOM + ELEVATOR MACHINE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</si>
</sst>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1" xfId="0" applyBorder="1"/>
    <xf numFmtId="2" fontId="0" fillId="0" borderId="1" xfId="0" applyNumberFormat="1" applyBorder="1" applyAlignment="1">
      <alignment horizontal="left" indent="5"/>
    </xf>
    <xf numFmtId="165" fontId="0" fillId="0" borderId="1" xfId="1" applyNumberFormat="1" applyFont="1" applyBorder="1"/>
    <xf numFmtId="164" fontId="0" fillId="0" borderId="1" xfId="1" applyNumberFormat="1" applyFont="1" applyBorder="1"/>
    <xf numFmtId="0" fontId="0" fillId="0" borderId="0" xfId="0" applyFill="1" applyBorder="1"/>
    <xf numFmtId="0" fontId="0" fillId="4" borderId="1" xfId="0" applyFill="1" applyBorder="1"/>
    <xf numFmtId="2" fontId="2" fillId="0" borderId="1" xfId="0" applyNumberFormat="1" applyFont="1" applyBorder="1" applyAlignment="1">
      <alignment horizontal="left" indent="5"/>
    </xf>
    <xf numFmtId="165" fontId="2" fillId="0" borderId="1" xfId="1" applyNumberFormat="1" applyFont="1" applyBorder="1"/>
    <xf numFmtId="164" fontId="2" fillId="0" borderId="1" xfId="1" applyNumberFormat="1" applyFont="1" applyBorder="1"/>
    <xf numFmtId="0" fontId="7" fillId="0" borderId="1" xfId="0" applyFont="1" applyFill="1" applyBorder="1" applyAlignment="1">
      <alignment horizontal="right" vertical="center"/>
    </xf>
    <xf numFmtId="0" fontId="7" fillId="0" borderId="1" xfId="0" applyFont="1" applyFill="1" applyBorder="1"/>
    <xf numFmtId="0" fontId="6" fillId="0" borderId="1" xfId="0" applyFont="1" applyFill="1" applyBorder="1" applyAlignment="1">
      <alignment horizontal="left" vertical="center"/>
    </xf>
    <xf numFmtId="0" fontId="7" fillId="0" borderId="0" xfId="0" applyFont="1" applyFill="1"/>
    <xf numFmtId="164" fontId="6" fillId="0" borderId="1" xfId="0" applyNumberFormat="1" applyFont="1" applyFill="1" applyBorder="1"/>
    <xf numFmtId="0" fontId="2" fillId="0" borderId="1" xfId="0" applyFont="1" applyBorder="1"/>
    <xf numFmtId="0" fontId="0" fillId="4" borderId="1" xfId="0" applyFont="1" applyFill="1" applyBorder="1" applyAlignment="1">
      <alignment horizontal="right"/>
    </xf>
    <xf numFmtId="43" fontId="0" fillId="0" borderId="1" xfId="0" applyNumberFormat="1" applyFont="1" applyBorder="1" applyAlignment="1">
      <alignment horizontal="right"/>
    </xf>
    <xf numFmtId="43" fontId="5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166" fontId="0" fillId="0" borderId="1" xfId="0" applyNumberFormat="1" applyFont="1" applyBorder="1" applyAlignment="1">
      <alignment horizontal="right"/>
    </xf>
    <xf numFmtId="166" fontId="5" fillId="0" borderId="1" xfId="0" applyNumberFormat="1" applyFont="1" applyBorder="1" applyAlignment="1">
      <alignment horizontal="right"/>
    </xf>
    <xf numFmtId="0" fontId="0" fillId="6" borderId="1" xfId="0" applyFont="1" applyFill="1" applyBorder="1" applyAlignment="1">
      <alignment horizontal="right"/>
    </xf>
    <xf numFmtId="0" fontId="0" fillId="0" borderId="1" xfId="0" applyFont="1" applyFill="1" applyBorder="1" applyAlignment="1">
      <alignment horizontal="right"/>
    </xf>
    <xf numFmtId="0" fontId="0" fillId="8" borderId="1" xfId="0" applyFont="1" applyFill="1" applyBorder="1" applyAlignment="1">
      <alignment horizontal="right"/>
    </xf>
    <xf numFmtId="0" fontId="0" fillId="12" borderId="1" xfId="0" applyFont="1" applyFill="1" applyBorder="1" applyAlignment="1">
      <alignment horizontal="right"/>
    </xf>
    <xf numFmtId="1" fontId="0" fillId="0" borderId="1" xfId="0" applyNumberFormat="1" applyFont="1" applyBorder="1" applyAlignment="1">
      <alignment horizontal="right"/>
    </xf>
    <xf numFmtId="0" fontId="0" fillId="10" borderId="1" xfId="0" applyFont="1" applyFill="1" applyBorder="1" applyAlignment="1">
      <alignment horizontal="right"/>
    </xf>
    <xf numFmtId="2" fontId="0" fillId="0" borderId="1" xfId="0" applyNumberFormat="1" applyFont="1" applyBorder="1" applyAlignment="1">
      <alignment horizontal="right"/>
    </xf>
    <xf numFmtId="0" fontId="6" fillId="13" borderId="1" xfId="0" applyFont="1" applyFill="1" applyBorder="1"/>
    <xf numFmtId="0" fontId="6" fillId="3" borderId="1" xfId="0" applyFont="1" applyFill="1" applyBorder="1"/>
    <xf numFmtId="0" fontId="6" fillId="14" borderId="1" xfId="0" applyFont="1" applyFill="1" applyBorder="1"/>
    <xf numFmtId="0" fontId="11" fillId="0" borderId="1" xfId="0" applyFont="1" applyFill="1" applyBorder="1"/>
    <xf numFmtId="0" fontId="11" fillId="0" borderId="1" xfId="0" applyFont="1" applyFill="1" applyBorder="1" applyAlignment="1">
      <alignment wrapText="1"/>
    </xf>
    <xf numFmtId="166" fontId="7" fillId="0" borderId="1" xfId="0" applyNumberFormat="1" applyFont="1" applyFill="1" applyBorder="1"/>
    <xf numFmtId="0" fontId="6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11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zoomScaleNormal="100" workbookViewId="0">
      <selection activeCell="C13" sqref="C13"/>
    </sheetView>
  </sheetViews>
  <sheetFormatPr defaultRowHeight="15" x14ac:dyDescent="0.25"/>
  <cols>
    <col min="1" max="1" width="48" bestFit="1" customWidth="1"/>
    <col min="2" max="2" width="13.7109375" bestFit="1" customWidth="1"/>
    <col min="3" max="3" width="29" bestFit="1" customWidth="1"/>
    <col min="4" max="4" width="109.42578125" hidden="1" customWidth="1"/>
  </cols>
  <sheetData>
    <row r="1" spans="1:4" ht="15.75" x14ac:dyDescent="0.25">
      <c r="A1" s="36" t="s">
        <v>0</v>
      </c>
      <c r="B1" s="36"/>
      <c r="C1" s="36"/>
      <c r="D1" s="36"/>
    </row>
    <row r="2" spans="1:4" ht="18" x14ac:dyDescent="0.25">
      <c r="A2" s="12" t="s">
        <v>46</v>
      </c>
      <c r="B2" s="10">
        <v>2000</v>
      </c>
      <c r="C2" s="10"/>
      <c r="D2" s="11"/>
    </row>
    <row r="3" spans="1:4" ht="18" x14ac:dyDescent="0.25">
      <c r="A3" s="12" t="s">
        <v>26</v>
      </c>
      <c r="B3" s="10">
        <v>500</v>
      </c>
      <c r="C3" s="10"/>
      <c r="D3" s="11"/>
    </row>
    <row r="4" spans="1:4" ht="15.75" x14ac:dyDescent="0.25">
      <c r="A4" s="12" t="s">
        <v>1</v>
      </c>
      <c r="B4" s="10">
        <v>4</v>
      </c>
      <c r="C4" s="10"/>
      <c r="D4" s="11"/>
    </row>
    <row r="5" spans="1:4" ht="15.75" x14ac:dyDescent="0.25">
      <c r="A5" s="13"/>
      <c r="B5" s="13"/>
      <c r="C5" s="13"/>
      <c r="D5" s="13"/>
    </row>
    <row r="6" spans="1:4" ht="18" x14ac:dyDescent="0.25">
      <c r="A6" s="11" t="s">
        <v>27</v>
      </c>
      <c r="B6" s="11">
        <v>0.04</v>
      </c>
      <c r="C6" s="11"/>
      <c r="D6" s="11" t="s">
        <v>28</v>
      </c>
    </row>
    <row r="7" spans="1:4" ht="15.75" x14ac:dyDescent="0.25">
      <c r="A7" s="11" t="s">
        <v>11</v>
      </c>
      <c r="B7" s="11">
        <f>B6*B2</f>
        <v>80</v>
      </c>
      <c r="C7" s="11"/>
      <c r="D7" s="11"/>
    </row>
    <row r="8" spans="1:4" ht="15.75" x14ac:dyDescent="0.25">
      <c r="A8" s="11" t="s">
        <v>10</v>
      </c>
      <c r="B8" s="35">
        <f>B6*B3</f>
        <v>20</v>
      </c>
      <c r="C8" s="11"/>
      <c r="D8" s="11"/>
    </row>
    <row r="9" spans="1:4" ht="15.75" x14ac:dyDescent="0.25">
      <c r="A9" s="13"/>
      <c r="B9" s="13"/>
      <c r="C9" s="13"/>
      <c r="D9" s="13"/>
    </row>
    <row r="10" spans="1:4" ht="15.75" x14ac:dyDescent="0.25">
      <c r="A10" s="42" t="s">
        <v>24</v>
      </c>
      <c r="B10" s="43"/>
      <c r="C10" s="43"/>
      <c r="D10" s="44"/>
    </row>
    <row r="11" spans="1:4" ht="18" x14ac:dyDescent="0.25">
      <c r="A11" s="30" t="s">
        <v>29</v>
      </c>
      <c r="B11" s="14">
        <f>B24+B25+B26</f>
        <v>1.7474320979045359</v>
      </c>
      <c r="C11" s="11"/>
      <c r="D11" s="13"/>
    </row>
    <row r="12" spans="1:4" ht="18" x14ac:dyDescent="0.25">
      <c r="A12" s="31" t="s">
        <v>30</v>
      </c>
      <c r="B12" s="14">
        <f>B40*B39</f>
        <v>5.75</v>
      </c>
      <c r="C12" s="33" t="s">
        <v>50</v>
      </c>
      <c r="D12" s="13"/>
    </row>
    <row r="13" spans="1:4" ht="18" x14ac:dyDescent="0.25">
      <c r="A13" s="32" t="s">
        <v>31</v>
      </c>
      <c r="B13" s="14">
        <f>(B49*B50*B47)</f>
        <v>6.7679999999999998</v>
      </c>
      <c r="C13" s="33" t="s">
        <v>49</v>
      </c>
      <c r="D13" s="13"/>
    </row>
    <row r="14" spans="1:4" ht="15.75" x14ac:dyDescent="0.25">
      <c r="A14" s="13"/>
      <c r="B14" s="13"/>
      <c r="C14" s="13"/>
      <c r="D14" s="13"/>
    </row>
    <row r="15" spans="1:4" ht="15.75" x14ac:dyDescent="0.25">
      <c r="A15" s="42" t="s">
        <v>25</v>
      </c>
      <c r="B15" s="43"/>
      <c r="C15" s="43"/>
      <c r="D15" s="44"/>
    </row>
    <row r="16" spans="1:4" ht="18" x14ac:dyDescent="0.25">
      <c r="A16" s="30" t="s">
        <v>29</v>
      </c>
      <c r="B16" s="14">
        <f>B28+B41</f>
        <v>78.962346200041566</v>
      </c>
      <c r="C16" s="34" t="s">
        <v>51</v>
      </c>
      <c r="D16" s="13"/>
    </row>
    <row r="18" spans="1:4" x14ac:dyDescent="0.25">
      <c r="A18" s="37" t="s">
        <v>2</v>
      </c>
      <c r="B18" s="37"/>
      <c r="C18" s="37"/>
      <c r="D18" s="37"/>
    </row>
    <row r="19" spans="1:4" hidden="1" x14ac:dyDescent="0.25">
      <c r="A19" s="6" t="s">
        <v>3</v>
      </c>
      <c r="B19" s="2">
        <f>B2/46.5*3.5169</f>
        <v>151.26451612903224</v>
      </c>
      <c r="C19" s="7"/>
      <c r="D19" s="1"/>
    </row>
    <row r="20" spans="1:4" hidden="1" x14ac:dyDescent="0.25">
      <c r="A20" s="6" t="s">
        <v>4</v>
      </c>
      <c r="B20" s="2">
        <f>B2/66.7</f>
        <v>29.985007496251871</v>
      </c>
      <c r="C20" s="7"/>
      <c r="D20" s="1" t="s">
        <v>7</v>
      </c>
    </row>
    <row r="21" spans="1:4" ht="17.25" hidden="1" x14ac:dyDescent="0.25">
      <c r="A21" s="6" t="s">
        <v>5</v>
      </c>
      <c r="B21" s="3">
        <f>B20*189*3.6</f>
        <v>20401.799100449771</v>
      </c>
      <c r="C21" s="8"/>
      <c r="D21" s="1" t="s">
        <v>7</v>
      </c>
    </row>
    <row r="22" spans="1:4" ht="17.25" hidden="1" x14ac:dyDescent="0.25">
      <c r="A22" s="6" t="s">
        <v>6</v>
      </c>
      <c r="B22" s="4">
        <f>B20*189*0.001</f>
        <v>5.6671664167916038</v>
      </c>
      <c r="C22" s="9"/>
      <c r="D22" s="1"/>
    </row>
    <row r="23" spans="1:4" hidden="1" x14ac:dyDescent="0.25">
      <c r="A23" s="6"/>
      <c r="B23" s="1"/>
      <c r="C23" s="15"/>
      <c r="D23" s="1"/>
    </row>
    <row r="24" spans="1:4" ht="17.25" x14ac:dyDescent="0.25">
      <c r="A24" s="16" t="s">
        <v>32</v>
      </c>
      <c r="B24" s="17">
        <f>B22/8.6*1.25</f>
        <v>0.82371604895226791</v>
      </c>
      <c r="C24" s="18" t="s">
        <v>23</v>
      </c>
      <c r="D24" s="19" t="s">
        <v>33</v>
      </c>
    </row>
    <row r="25" spans="1:4" ht="17.25" x14ac:dyDescent="0.25">
      <c r="A25" s="16" t="s">
        <v>34</v>
      </c>
      <c r="B25" s="17">
        <f>B24</f>
        <v>0.82371604895226791</v>
      </c>
      <c r="C25" s="18" t="s">
        <v>23</v>
      </c>
      <c r="D25" s="19"/>
    </row>
    <row r="26" spans="1:4" ht="17.25" x14ac:dyDescent="0.25">
      <c r="A26" s="16" t="s">
        <v>35</v>
      </c>
      <c r="B26" s="17">
        <v>0.1</v>
      </c>
      <c r="C26" s="18" t="s">
        <v>23</v>
      </c>
      <c r="D26" s="19" t="s">
        <v>36</v>
      </c>
    </row>
    <row r="27" spans="1:4" x14ac:dyDescent="0.25">
      <c r="A27" s="16"/>
      <c r="B27" s="19"/>
      <c r="C27" s="20"/>
      <c r="D27" s="19"/>
    </row>
    <row r="28" spans="1:4" ht="17.25" x14ac:dyDescent="0.25">
      <c r="A28" s="16" t="s">
        <v>37</v>
      </c>
      <c r="B28" s="21">
        <f>(B2/51)^1.087</f>
        <v>53.962346200041559</v>
      </c>
      <c r="C28" s="22" t="s">
        <v>22</v>
      </c>
      <c r="D28" s="19" t="s">
        <v>38</v>
      </c>
    </row>
    <row r="29" spans="1:4" ht="17.25" x14ac:dyDescent="0.25">
      <c r="A29" s="16" t="s">
        <v>39</v>
      </c>
      <c r="B29" s="21">
        <f>(B2/116)^1.053</f>
        <v>20.049812832323774</v>
      </c>
      <c r="C29" s="22" t="s">
        <v>21</v>
      </c>
      <c r="D29" s="19" t="s">
        <v>38</v>
      </c>
    </row>
    <row r="30" spans="1:4" x14ac:dyDescent="0.25">
      <c r="A30" s="19"/>
      <c r="B30" s="19"/>
      <c r="C30" s="19"/>
      <c r="D30" s="19"/>
    </row>
    <row r="31" spans="1:4" x14ac:dyDescent="0.25">
      <c r="A31" s="38" t="s">
        <v>8</v>
      </c>
      <c r="B31" s="38"/>
      <c r="C31" s="38"/>
      <c r="D31" s="38"/>
    </row>
    <row r="32" spans="1:4" ht="17.25" x14ac:dyDescent="0.25">
      <c r="A32" s="23" t="s">
        <v>48</v>
      </c>
      <c r="B32" s="21">
        <v>2</v>
      </c>
      <c r="C32" s="22" t="s">
        <v>21</v>
      </c>
      <c r="D32" s="19" t="s">
        <v>40</v>
      </c>
    </row>
    <row r="33" spans="1:5" x14ac:dyDescent="0.25">
      <c r="A33" s="24"/>
      <c r="B33" s="17"/>
      <c r="C33" s="17"/>
      <c r="D33" s="19"/>
    </row>
    <row r="34" spans="1:5" x14ac:dyDescent="0.25">
      <c r="A34" s="39" t="s">
        <v>9</v>
      </c>
      <c r="B34" s="39"/>
      <c r="C34" s="39"/>
      <c r="D34" s="39"/>
    </row>
    <row r="35" spans="1:5" ht="17.25" x14ac:dyDescent="0.25">
      <c r="A35" s="25" t="s">
        <v>41</v>
      </c>
      <c r="B35" s="21">
        <v>8</v>
      </c>
      <c r="C35" s="22" t="s">
        <v>21</v>
      </c>
      <c r="D35" s="19" t="s">
        <v>40</v>
      </c>
    </row>
    <row r="36" spans="1:5" ht="17.25" x14ac:dyDescent="0.25">
      <c r="A36" s="25" t="s">
        <v>42</v>
      </c>
      <c r="B36" s="21">
        <v>8</v>
      </c>
      <c r="C36" s="22" t="s">
        <v>21</v>
      </c>
      <c r="D36" s="19" t="s">
        <v>40</v>
      </c>
    </row>
    <row r="37" spans="1:5" x14ac:dyDescent="0.25">
      <c r="A37" s="24"/>
      <c r="B37" s="24"/>
      <c r="C37" s="24"/>
      <c r="D37" s="24"/>
      <c r="E37" s="5"/>
    </row>
    <row r="38" spans="1:5" x14ac:dyDescent="0.25">
      <c r="A38" s="40" t="s">
        <v>12</v>
      </c>
      <c r="B38" s="40"/>
      <c r="C38" s="40"/>
      <c r="D38" s="40"/>
      <c r="E38" s="5"/>
    </row>
    <row r="39" spans="1:5" x14ac:dyDescent="0.25">
      <c r="A39" s="26" t="s">
        <v>13</v>
      </c>
      <c r="B39" s="27">
        <f>ROUNDUP(B2/3250,0)</f>
        <v>1</v>
      </c>
      <c r="C39" s="18"/>
      <c r="D39" s="19" t="s">
        <v>40</v>
      </c>
    </row>
    <row r="40" spans="1:5" ht="17.25" x14ac:dyDescent="0.25">
      <c r="A40" s="26" t="s">
        <v>43</v>
      </c>
      <c r="B40" s="21">
        <v>5.75</v>
      </c>
      <c r="C40" s="18" t="s">
        <v>23</v>
      </c>
      <c r="D40" s="19" t="s">
        <v>40</v>
      </c>
    </row>
    <row r="41" spans="1:5" ht="17.25" x14ac:dyDescent="0.25">
      <c r="A41" s="26" t="s">
        <v>44</v>
      </c>
      <c r="B41" s="21">
        <v>25</v>
      </c>
      <c r="C41" s="22" t="s">
        <v>47</v>
      </c>
      <c r="D41" s="19" t="s">
        <v>40</v>
      </c>
    </row>
    <row r="42" spans="1:5" x14ac:dyDescent="0.25">
      <c r="A42" s="19"/>
      <c r="B42" s="19"/>
      <c r="C42" s="19"/>
      <c r="D42" s="19"/>
    </row>
    <row r="43" spans="1:5" x14ac:dyDescent="0.25">
      <c r="A43" s="41" t="s">
        <v>14</v>
      </c>
      <c r="B43" s="41"/>
      <c r="C43" s="41"/>
      <c r="D43" s="41"/>
    </row>
    <row r="44" spans="1:5" hidden="1" x14ac:dyDescent="0.25">
      <c r="A44" s="28" t="s">
        <v>17</v>
      </c>
      <c r="B44" s="21">
        <v>8</v>
      </c>
      <c r="C44" s="21"/>
      <c r="D44" s="19" t="s">
        <v>45</v>
      </c>
    </row>
    <row r="45" spans="1:5" hidden="1" x14ac:dyDescent="0.25">
      <c r="A45" s="28" t="s">
        <v>16</v>
      </c>
      <c r="B45" s="21">
        <f>B3/9.3</f>
        <v>53.763440860215049</v>
      </c>
      <c r="C45" s="21"/>
      <c r="D45" s="19" t="s">
        <v>45</v>
      </c>
    </row>
    <row r="46" spans="1:5" hidden="1" x14ac:dyDescent="0.25">
      <c r="A46" s="28"/>
      <c r="B46" s="27"/>
      <c r="C46" s="27"/>
      <c r="D46" s="19"/>
    </row>
    <row r="47" spans="1:5" x14ac:dyDescent="0.25">
      <c r="A47" s="28" t="s">
        <v>15</v>
      </c>
      <c r="B47" s="27">
        <v>1</v>
      </c>
      <c r="C47" s="19"/>
      <c r="D47" s="19" t="s">
        <v>45</v>
      </c>
    </row>
    <row r="48" spans="1:5" x14ac:dyDescent="0.25">
      <c r="A48" s="28" t="s">
        <v>18</v>
      </c>
      <c r="B48" s="29">
        <v>0.9</v>
      </c>
      <c r="C48" s="29"/>
      <c r="D48" s="19" t="s">
        <v>45</v>
      </c>
    </row>
    <row r="49" spans="1:4" x14ac:dyDescent="0.25">
      <c r="A49" s="28" t="s">
        <v>19</v>
      </c>
      <c r="B49" s="29">
        <v>3.76</v>
      </c>
      <c r="C49" s="18" t="s">
        <v>23</v>
      </c>
      <c r="D49" s="19" t="s">
        <v>45</v>
      </c>
    </row>
    <row r="50" spans="1:4" x14ac:dyDescent="0.25">
      <c r="A50" s="28" t="s">
        <v>20</v>
      </c>
      <c r="B50" s="29">
        <f>B48*2</f>
        <v>1.8</v>
      </c>
      <c r="C50" s="18" t="s">
        <v>23</v>
      </c>
      <c r="D50" s="19"/>
    </row>
  </sheetData>
  <mergeCells count="8">
    <mergeCell ref="A43:D43"/>
    <mergeCell ref="A10:D10"/>
    <mergeCell ref="A15:D15"/>
    <mergeCell ref="A1:D1"/>
    <mergeCell ref="A18:D18"/>
    <mergeCell ref="A31:D31"/>
    <mergeCell ref="A34:D34"/>
    <mergeCell ref="A38:D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 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Irani</dc:creator>
  <cp:lastModifiedBy>Ali Irani</cp:lastModifiedBy>
  <dcterms:created xsi:type="dcterms:W3CDTF">2022-09-26T16:50:20Z</dcterms:created>
  <dcterms:modified xsi:type="dcterms:W3CDTF">2023-10-19T00:10:14Z</dcterms:modified>
</cp:coreProperties>
</file>